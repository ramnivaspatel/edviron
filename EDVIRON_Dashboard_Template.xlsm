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Raw_Data" sheetId="1" state="visible" r:id="rId1"/>
    <sheet xmlns:r="http://schemas.openxmlformats.org/officeDocument/2006/relationships" name="Clean_Data" sheetId="2" state="visible" r:id="rId2"/>
    <sheet xmlns:r="http://schemas.openxmlformats.org/officeDocument/2006/relationships" name="Pricing_Normalized" sheetId="3" state="visible" r:id="rId3"/>
    <sheet xmlns:r="http://schemas.openxmlformats.org/officeDocument/2006/relationships" name="Revenue_Model" sheetId="4" state="visible" r:id="rId4"/>
    <sheet xmlns:r="http://schemas.openxmlformats.org/officeDocument/2006/relationships" name="Reports" sheetId="5" state="visible" r:id="rId5"/>
    <sheet xmlns:r="http://schemas.openxmlformats.org/officeDocument/2006/relationships" name="Dashboard" sheetId="6" state="visible" r:id="rId6"/>
    <sheet xmlns:r="http://schemas.openxmlformats.org/officeDocument/2006/relationships" name="Assumptions_Notes" sheetId="7" state="visible" r:id="rId7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3">
    <font>
      <name val="Calibri"/>
      <family val="2"/>
      <color theme="1"/>
      <sz val="11"/>
      <scheme val="minor"/>
    </font>
    <font>
      <b val="1"/>
    </font>
    <font>
      <b val="1"/>
      <sz val="12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pivotButton="0" quotePrefix="0" xfId="0"/>
    <xf numFmtId="0" fontId="1" fillId="0" borderId="0" pivotButton="0" quotePrefix="0" xfId="0"/>
    <xf numFmtId="0" fontId="2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K2"/>
  <sheetViews>
    <sheetView workbookViewId="0">
      <selection activeCell="A1" sqref="A1"/>
    </sheetView>
  </sheetViews>
  <sheetFormatPr baseColWidth="8" defaultRowHeight="15"/>
  <sheetData>
    <row r="1">
      <c r="A1" s="1" t="inlineStr">
        <is>
          <t>Order_ID</t>
        </is>
      </c>
      <c r="B1" s="1" t="inlineStr">
        <is>
          <t>Transaction_Amount</t>
        </is>
      </c>
      <c r="C1" s="1" t="inlineStr">
        <is>
          <t>Partner_INR</t>
        </is>
      </c>
      <c r="D1" s="1" t="inlineStr">
        <is>
          <t>Merchant_INR</t>
        </is>
      </c>
      <c r="E1" s="1" t="inlineStr">
        <is>
          <t>Buying_INR</t>
        </is>
      </c>
      <c r="F1" s="1" t="inlineStr">
        <is>
          <t>ERP_Revenue</t>
        </is>
      </c>
      <c r="G1" s="1" t="inlineStr">
        <is>
          <t>Edviron_Net_Revenue</t>
        </is>
      </c>
      <c r="H1" s="1" t="inlineStr">
        <is>
          <t>Edviron_Gross_Revenue</t>
        </is>
      </c>
      <c r="I1" s="1" t="inlineStr">
        <is>
          <t>Status</t>
        </is>
      </c>
      <c r="J1" s="1" t="inlineStr">
        <is>
          <t>Student_Name</t>
        </is>
      </c>
      <c r="K1" s="1" t="inlineStr">
        <is>
          <t>Pending_Exposure</t>
        </is>
      </c>
    </row>
    <row r="2">
      <c r="F2">
        <f>D2-C2</f>
        <v/>
      </c>
      <c r="G2">
        <f>C2-E2</f>
        <v/>
      </c>
      <c r="H2">
        <f>F2+G2</f>
        <v/>
      </c>
      <c r="K2">
        <f>IF(I2&lt;&gt;"SUCCESS",B2,0)</f>
        <v/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2:G6"/>
  <sheetViews>
    <sheetView workbookViewId="0">
      <selection activeCell="A1" sqref="A1"/>
    </sheetView>
  </sheetViews>
  <sheetFormatPr baseColWidth="8" defaultRowHeight="15"/>
  <sheetData>
    <row r="2">
      <c r="A2" s="2" t="inlineStr">
        <is>
          <t>Total Transactions</t>
        </is>
      </c>
      <c r="C2" s="2" t="inlineStr">
        <is>
          <t>Total GMV</t>
        </is>
      </c>
      <c r="E2" s="2" t="inlineStr">
        <is>
          <t>ERP Revenue</t>
        </is>
      </c>
      <c r="G2" s="2" t="inlineStr">
        <is>
          <t>Edviron Net Revenue</t>
        </is>
      </c>
    </row>
    <row r="3">
      <c r="A3" s="3">
        <f>COUNTA(Revenue_Model!A:A)-1</f>
        <v/>
      </c>
      <c r="C3" s="3">
        <f>SUM(Revenue_Model!B:B)</f>
        <v/>
      </c>
      <c r="E3" s="3">
        <f>SUM(Revenue_Model!F:F)</f>
        <v/>
      </c>
      <c r="G3" s="3">
        <f>SUM(Revenue_Model!G:G)</f>
        <v/>
      </c>
    </row>
    <row r="4">
      <c r="A4" s="3" t="n"/>
      <c r="C4" s="3" t="n"/>
      <c r="E4" s="3" t="n"/>
      <c r="G4" s="3" t="n"/>
    </row>
    <row r="5">
      <c r="A5" s="2" t="inlineStr">
        <is>
          <t>Edviron Gross Revenue</t>
        </is>
      </c>
      <c r="C5" s="2" t="inlineStr">
        <is>
          <t>Pending Exposure</t>
        </is>
      </c>
      <c r="E5" s="2" t="inlineStr">
        <is>
          <t>Unique Users</t>
        </is>
      </c>
      <c r="G5" s="3" t="n"/>
    </row>
    <row r="6">
      <c r="A6" s="3">
        <f>SUM(Revenue_Model!H:H)</f>
        <v/>
      </c>
      <c r="C6" s="3">
        <f>SUM(Revenue_Model!K:K)</f>
        <v/>
      </c>
      <c r="E6" s="3" t="n"/>
      <c r="G6" s="3" t="n"/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A8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Revenue Logic:</t>
        </is>
      </c>
    </row>
    <row r="2">
      <c r="A2" t="inlineStr">
        <is>
          <t>ERP Revenue = Merchant - Partner</t>
        </is>
      </c>
    </row>
    <row r="3">
      <c r="A3" t="inlineStr">
        <is>
          <t>Edviron Net Revenue = Partner - Buying</t>
        </is>
      </c>
    </row>
    <row r="4">
      <c r="A4" t="inlineStr">
        <is>
          <t>Edviron Gross Revenue = ERP + Net</t>
        </is>
      </c>
    </row>
    <row r="6">
      <c r="A6" t="inlineStr">
        <is>
          <t>Settlement Logic:</t>
        </is>
      </c>
    </row>
    <row r="7">
      <c r="A7" t="inlineStr">
        <is>
          <t>ERP payable only for SUCCESS transactions.</t>
        </is>
      </c>
    </row>
    <row r="8">
      <c r="A8" t="inlineStr">
        <is>
          <t>Non-success transactions treated as exposure.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2026-03-02T06:26:10Z</dcterms:created>
  <dcterms:modified xmlns:dcterms="http://purl.org/dc/terms/" xmlns:xsi="http://www.w3.org/2001/XMLSchema-instance" xsi:type="dcterms:W3CDTF">2026-03-02T06:26:10Z</dcterms:modified>
</cp:coreProperties>
</file>